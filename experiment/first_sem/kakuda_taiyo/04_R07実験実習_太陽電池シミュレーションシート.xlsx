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25" documentId="13_ncr:1_{B1D104A2-8177-4424-BCB4-C7C5F924C1E6}" xr6:coauthVersionLast="47" xr6:coauthVersionMax="47" xr10:uidLastSave="{D271E7EE-1AB5-4758-B31B-1736AF68C2E8}"/>
  <bookViews>
    <workbookView xWindow="-98" yWindow="-98" windowWidth="19396" windowHeight="11475" xr2:uid="{00000000-000D-0000-FFFF-FFFF00000000}"/>
  </bookViews>
  <sheets>
    <sheet name="03電力の見積り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8" l="1"/>
  <c r="F33" i="8" s="1"/>
  <c r="F34" i="8" s="1"/>
  <c r="F9" i="8"/>
  <c r="B15" i="8"/>
  <c r="J8" i="8"/>
  <c r="J7" i="8" s="1"/>
  <c r="J9" i="8"/>
  <c r="C15" i="8"/>
  <c r="F21" i="8" l="1"/>
  <c r="F23" i="8" s="1"/>
  <c r="F24" i="8" s="1"/>
</calcChain>
</file>

<file path=xl/sharedStrings.xml><?xml version="1.0" encoding="utf-8"?>
<sst xmlns="http://schemas.openxmlformats.org/spreadsheetml/2006/main" count="46" uniqueCount="37">
  <si>
    <t>計算に用いるパネル</t>
    <rPh sb="0" eb="2">
      <t>ケイサン</t>
    </rPh>
    <rPh sb="3" eb="4">
      <t>モチ</t>
    </rPh>
    <phoneticPr fontId="1"/>
  </si>
  <si>
    <t>土地についての情報</t>
    <rPh sb="0" eb="2">
      <t>トチ</t>
    </rPh>
    <rPh sb="7" eb="9">
      <t>ジョウホウ</t>
    </rPh>
    <phoneticPr fontId="1"/>
  </si>
  <si>
    <t>https://www.solar-off.com/shopbrand/solarpanel</t>
    <phoneticPr fontId="1"/>
  </si>
  <si>
    <t>エリア1</t>
    <phoneticPr fontId="1"/>
  </si>
  <si>
    <t>パネル材料</t>
    <rPh sb="3" eb="5">
      <t>ザイリョウ</t>
    </rPh>
    <phoneticPr fontId="1"/>
  </si>
  <si>
    <t>Si単結晶 or Si多結晶 or CIS</t>
    <rPh sb="2" eb="5">
      <t>タンケッショウ</t>
    </rPh>
    <rPh sb="11" eb="14">
      <t>タケッショウ</t>
    </rPh>
    <phoneticPr fontId="1"/>
  </si>
  <si>
    <t>住所</t>
    <rPh sb="0" eb="2">
      <t>ジュウショ</t>
    </rPh>
    <phoneticPr fontId="1"/>
  </si>
  <si>
    <t>建坪から屋根面積への変換</t>
    <rPh sb="0" eb="2">
      <t>タテツボ</t>
    </rPh>
    <rPh sb="4" eb="6">
      <t>ヤネ</t>
    </rPh>
    <rPh sb="6" eb="8">
      <t>メンセキ</t>
    </rPh>
    <rPh sb="10" eb="12">
      <t>ヘンカン</t>
    </rPh>
    <phoneticPr fontId="1"/>
  </si>
  <si>
    <t>最大出力電力(W)</t>
    <rPh sb="0" eb="2">
      <t>サイダイ</t>
    </rPh>
    <rPh sb="2" eb="4">
      <t>シュツリョク</t>
    </rPh>
    <rPh sb="4" eb="6">
      <t>デンリョク</t>
    </rPh>
    <phoneticPr fontId="1"/>
  </si>
  <si>
    <t>建坪(坪)</t>
    <rPh sb="0" eb="2">
      <t>タテツボ</t>
    </rPh>
    <rPh sb="3" eb="4">
      <t>ツボ</t>
    </rPh>
    <phoneticPr fontId="1"/>
  </si>
  <si>
    <t>建坪数</t>
    <rPh sb="0" eb="2">
      <t>タテツボ</t>
    </rPh>
    <rPh sb="2" eb="3">
      <t>スウ</t>
    </rPh>
    <phoneticPr fontId="1"/>
  </si>
  <si>
    <t>屋根面積(m2)</t>
    <rPh sb="0" eb="2">
      <t>ヤネ</t>
    </rPh>
    <rPh sb="2" eb="4">
      <t>メンセキ</t>
    </rPh>
    <phoneticPr fontId="1"/>
  </si>
  <si>
    <t>開放電圧(V)</t>
    <rPh sb="0" eb="4">
      <t>カイホウデンアツ</t>
    </rPh>
    <phoneticPr fontId="1"/>
  </si>
  <si>
    <r>
      <t>屋根面積(m</t>
    </r>
    <r>
      <rPr>
        <vertAlign val="superscript"/>
        <sz val="11"/>
        <color theme="1"/>
        <rFont val="Yu Gothic"/>
        <family val="3"/>
        <charset val="128"/>
        <scheme val="minor"/>
      </rPr>
      <t>2</t>
    </r>
    <r>
      <rPr>
        <sz val="11"/>
        <color theme="1"/>
        <rFont val="Yu Gothic"/>
        <family val="2"/>
        <scheme val="minor"/>
      </rPr>
      <t>)　建坪から算出</t>
    </r>
    <rPh sb="0" eb="4">
      <t>ヤネメンセキ</t>
    </rPh>
    <rPh sb="9" eb="11">
      <t>タテツボ</t>
    </rPh>
    <rPh sb="13" eb="15">
      <t>サンシュツ</t>
    </rPh>
    <phoneticPr fontId="1"/>
  </si>
  <si>
    <t>短絡電流(A)</t>
    <rPh sb="0" eb="4">
      <t>タンラクデンリュウ</t>
    </rPh>
    <phoneticPr fontId="1"/>
  </si>
  <si>
    <r>
      <t>設置パネル枚数（真南の屋根（傾斜角考慮しない））</t>
    </r>
    <r>
      <rPr>
        <b/>
        <sz val="11"/>
        <color theme="1"/>
        <rFont val="Yu Gothic"/>
        <family val="3"/>
        <charset val="128"/>
        <scheme val="minor"/>
      </rPr>
      <t>小数点以下切り捨てする</t>
    </r>
    <rPh sb="0" eb="2">
      <t>セッチ</t>
    </rPh>
    <rPh sb="5" eb="7">
      <t>マイスウ</t>
    </rPh>
    <rPh sb="8" eb="10">
      <t>マミナミ</t>
    </rPh>
    <rPh sb="11" eb="13">
      <t>ヤネ</t>
    </rPh>
    <rPh sb="14" eb="17">
      <t>ケイシャカク</t>
    </rPh>
    <rPh sb="17" eb="19">
      <t>コウリョ</t>
    </rPh>
    <rPh sb="24" eb="27">
      <t>ショウスウテン</t>
    </rPh>
    <rPh sb="27" eb="29">
      <t>イカ</t>
    </rPh>
    <rPh sb="29" eb="30">
      <t>キ</t>
    </rPh>
    <rPh sb="31" eb="32">
      <t>ス</t>
    </rPh>
    <phoneticPr fontId="1"/>
  </si>
  <si>
    <t>最大出力点電圧(V)</t>
    <rPh sb="0" eb="7">
      <t>サイダイシュツリョクテンデンアツ</t>
    </rPh>
    <phoneticPr fontId="1"/>
  </si>
  <si>
    <t>パネル総電力（パネル容量）(kW)</t>
    <rPh sb="3" eb="4">
      <t>ソウ</t>
    </rPh>
    <rPh sb="4" eb="6">
      <t>デンリョク</t>
    </rPh>
    <rPh sb="10" eb="12">
      <t>ヨウリョウ</t>
    </rPh>
    <phoneticPr fontId="1"/>
  </si>
  <si>
    <t>最大出力点電流(A)</t>
    <rPh sb="0" eb="5">
      <t>サイダイシュツリョクテン</t>
    </rPh>
    <rPh sb="5" eb="7">
      <t>デンリュウ</t>
    </rPh>
    <phoneticPr fontId="1"/>
  </si>
  <si>
    <t>曲線因子FF</t>
    <rPh sb="0" eb="4">
      <t>キョクセンインシ</t>
    </rPh>
    <phoneticPr fontId="1"/>
  </si>
  <si>
    <t>変換効率(%)</t>
    <rPh sb="0" eb="4">
      <t>ヘンカンコウリツ</t>
    </rPh>
    <phoneticPr fontId="1"/>
  </si>
  <si>
    <t>サイズ縦(m)</t>
    <rPh sb="3" eb="4">
      <t>タテ</t>
    </rPh>
    <phoneticPr fontId="1"/>
  </si>
  <si>
    <t>サイズ横(m)</t>
    <phoneticPr fontId="1"/>
  </si>
  <si>
    <r>
      <t>パネル面積(m</t>
    </r>
    <r>
      <rPr>
        <vertAlign val="superscript"/>
        <sz val="11"/>
        <color theme="1"/>
        <rFont val="Yu Gothic"/>
        <family val="3"/>
        <charset val="128"/>
        <scheme val="minor"/>
      </rPr>
      <t>2</t>
    </r>
    <r>
      <rPr>
        <sz val="11"/>
        <color theme="1"/>
        <rFont val="Yu Gothic"/>
        <family val="2"/>
        <scheme val="minor"/>
      </rPr>
      <t>)</t>
    </r>
    <rPh sb="3" eb="5">
      <t>メンセキ</t>
    </rPh>
    <phoneticPr fontId="1"/>
  </si>
  <si>
    <t>↓NEDO日射量データベースを用いて数値を入力↓</t>
    <rPh sb="5" eb="8">
      <t>ニッシャリョウ</t>
    </rPh>
    <rPh sb="15" eb="16">
      <t>モチ</t>
    </rPh>
    <rPh sb="18" eb="20">
      <t>スウチ</t>
    </rPh>
    <rPh sb="21" eb="23">
      <t>ニュウリョク</t>
    </rPh>
    <phoneticPr fontId="1"/>
  </si>
  <si>
    <t>https://appww2.infoc.nedo.go.jp/appww/monsola_map.html</t>
    <phoneticPr fontId="1"/>
  </si>
  <si>
    <t>平均最適傾斜角(°)</t>
    <rPh sb="0" eb="2">
      <t>ヘイキン</t>
    </rPh>
    <rPh sb="2" eb="7">
      <t>サイテキケイシャカク</t>
    </rPh>
    <phoneticPr fontId="1"/>
  </si>
  <si>
    <t>平均日射量(kWh/(m2・日))</t>
    <rPh sb="0" eb="2">
      <t>ヘイキン</t>
    </rPh>
    <rPh sb="2" eb="5">
      <t>ニッシャリョウ</t>
    </rPh>
    <rPh sb="14" eb="15">
      <t>ニチ</t>
    </rPh>
    <phoneticPr fontId="1"/>
  </si>
  <si>
    <t>損失係数</t>
    <rPh sb="0" eb="4">
      <t>ソンシツケイスウ</t>
    </rPh>
    <phoneticPr fontId="1"/>
  </si>
  <si>
    <t>年間日数</t>
    <rPh sb="0" eb="4">
      <t>ネンカンニッスウ</t>
    </rPh>
    <phoneticPr fontId="1"/>
  </si>
  <si>
    <r>
      <t>標準日射強度(kWh/m</t>
    </r>
    <r>
      <rPr>
        <vertAlign val="superscript"/>
        <sz val="11"/>
        <color theme="1"/>
        <rFont val="Yu Gothic"/>
        <family val="3"/>
        <charset val="128"/>
        <scheme val="minor"/>
      </rPr>
      <t>2</t>
    </r>
    <r>
      <rPr>
        <sz val="11"/>
        <color theme="1"/>
        <rFont val="Yu Gothic"/>
        <family val="2"/>
        <scheme val="minor"/>
      </rPr>
      <t>)</t>
    </r>
    <rPh sb="0" eb="6">
      <t>ヒョウジュンニッシャキョウド</t>
    </rPh>
    <phoneticPr fontId="1"/>
  </si>
  <si>
    <t>年間発電量(kWh)</t>
    <rPh sb="0" eb="5">
      <t>ネンカンハツデンリョウ</t>
    </rPh>
    <phoneticPr fontId="1"/>
  </si>
  <si>
    <r>
      <t>電力単価（円/kWh）</t>
    </r>
    <r>
      <rPr>
        <b/>
        <sz val="11"/>
        <color theme="1"/>
        <rFont val="Yu Gothic"/>
        <family val="3"/>
        <charset val="128"/>
        <scheme val="minor"/>
      </rPr>
      <t>従量電灯AまたはB</t>
    </r>
    <rPh sb="0" eb="4">
      <t>デンリョクタンカ</t>
    </rPh>
    <rPh sb="5" eb="6">
      <t>エン</t>
    </rPh>
    <rPh sb="11" eb="15">
      <t>ジュウリョウデントウ</t>
    </rPh>
    <phoneticPr fontId="1"/>
  </si>
  <si>
    <t>←調べて入力する</t>
    <rPh sb="1" eb="2">
      <t>シラ</t>
    </rPh>
    <rPh sb="4" eb="6">
      <t>ニュウリョク</t>
    </rPh>
    <phoneticPr fontId="1"/>
  </si>
  <si>
    <r>
      <t>電力価格(円)税込　</t>
    </r>
    <r>
      <rPr>
        <b/>
        <sz val="11"/>
        <color theme="1"/>
        <rFont val="Yu Gothic"/>
        <family val="3"/>
        <charset val="128"/>
        <scheme val="minor"/>
      </rPr>
      <t>自家消費での年間節約額</t>
    </r>
    <rPh sb="0" eb="2">
      <t>デンリョク</t>
    </rPh>
    <rPh sb="2" eb="4">
      <t>カカク</t>
    </rPh>
    <rPh sb="5" eb="6">
      <t>エン</t>
    </rPh>
    <rPh sb="7" eb="9">
      <t>ゼイコミ</t>
    </rPh>
    <rPh sb="10" eb="14">
      <t>ジカショウヒ</t>
    </rPh>
    <rPh sb="16" eb="18">
      <t>ネンカン</t>
    </rPh>
    <rPh sb="18" eb="20">
      <t>セツヤク</t>
    </rPh>
    <rPh sb="20" eb="21">
      <t>ガク</t>
    </rPh>
    <phoneticPr fontId="1"/>
  </si>
  <si>
    <r>
      <t xml:space="preserve">電力価格(円/kWh)税込 </t>
    </r>
    <r>
      <rPr>
        <b/>
        <sz val="11"/>
        <color theme="1"/>
        <rFont val="Yu Gothic"/>
        <family val="3"/>
        <charset val="128"/>
        <scheme val="minor"/>
      </rPr>
      <t>月額</t>
    </r>
    <r>
      <rPr>
        <sz val="11"/>
        <color theme="1"/>
        <rFont val="Yu Gothic"/>
        <family val="2"/>
        <scheme val="minor"/>
      </rPr>
      <t>（年間発電量÷12）で計算　</t>
    </r>
    <r>
      <rPr>
        <b/>
        <sz val="11"/>
        <color theme="1"/>
        <rFont val="Yu Gothic"/>
        <family val="3"/>
        <charset val="128"/>
        <scheme val="minor"/>
      </rPr>
      <t>月あたり節約額</t>
    </r>
    <rPh sb="0" eb="2">
      <t>デンリョク</t>
    </rPh>
    <rPh sb="2" eb="4">
      <t>カカク</t>
    </rPh>
    <rPh sb="5" eb="6">
      <t>エン</t>
    </rPh>
    <rPh sb="11" eb="13">
      <t>ゼイコミ</t>
    </rPh>
    <rPh sb="14" eb="16">
      <t>ゲツガク</t>
    </rPh>
    <rPh sb="17" eb="22">
      <t>ネンカンハツデンリョウ</t>
    </rPh>
    <rPh sb="27" eb="29">
      <t>ケイサン</t>
    </rPh>
    <rPh sb="30" eb="31">
      <t>ツキ</t>
    </rPh>
    <rPh sb="34" eb="37">
      <t>セツヤクガク</t>
    </rPh>
    <phoneticPr fontId="1"/>
  </si>
  <si>
    <t>山梨県北杜市</t>
    <rPh sb="0" eb="3">
      <t>ヤマナシケン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</si>
</sst>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¥&quot;#,##0;&quot;¥&quot;\-#,##0"/>
    <numFmt numFmtId="176" formatCode="&quot;¥&quot;#,##0.0;&quot;¥&quot;\-#,##0.0"/>
    <numFmt numFmtId="177" formatCode="#,##0.00_ "/>
  </numFmts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vertAlign val="superscript"/>
      <sz val="11"/>
      <color theme="1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0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b/>
      <sz val="14"/>
      <color rgb="FFFF0000"/>
      <name val="Yu Gothic"/>
      <family val="3"/>
      <charset val="128"/>
      <scheme val="minor"/>
    </font>
    <font>
      <b/>
      <sz val="11"/>
      <color rgb="FF00B05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5" fontId="5" fillId="0" borderId="2" xfId="0" applyNumberFormat="1" applyFont="1" applyBorder="1"/>
    <xf numFmtId="0" fontId="0" fillId="0" borderId="2" xfId="0" applyBorder="1" applyAlignment="1">
      <alignment wrapText="1"/>
    </xf>
    <xf numFmtId="0" fontId="6" fillId="0" borderId="0" xfId="1"/>
    <xf numFmtId="0" fontId="2" fillId="0" borderId="0" xfId="0" applyFont="1"/>
    <xf numFmtId="0" fontId="4" fillId="2" borderId="2" xfId="0" applyFont="1" applyFill="1" applyBorder="1"/>
    <xf numFmtId="0" fontId="0" fillId="2" borderId="2" xfId="0" applyFill="1" applyBorder="1"/>
    <xf numFmtId="176" fontId="0" fillId="2" borderId="2" xfId="0" applyNumberFormat="1" applyFill="1" applyBorder="1"/>
    <xf numFmtId="0" fontId="5" fillId="0" borderId="2" xfId="0" applyFont="1" applyBorder="1"/>
    <xf numFmtId="5" fontId="9" fillId="0" borderId="2" xfId="0" applyNumberFormat="1" applyFont="1" applyBorder="1"/>
    <xf numFmtId="0" fontId="4" fillId="0" borderId="0" xfId="0" applyFont="1"/>
    <xf numFmtId="5" fontId="4" fillId="0" borderId="0" xfId="0" applyNumberFormat="1" applyFont="1"/>
    <xf numFmtId="0" fontId="0" fillId="0" borderId="3" xfId="0" applyBorder="1"/>
    <xf numFmtId="5" fontId="0" fillId="0" borderId="3" xfId="0" applyNumberFormat="1" applyBorder="1"/>
    <xf numFmtId="0" fontId="7" fillId="0" borderId="0" xfId="0" applyFont="1" applyAlignment="1">
      <alignment wrapText="1"/>
    </xf>
    <xf numFmtId="5" fontId="0" fillId="0" borderId="0" xfId="0" applyNumberFormat="1"/>
    <xf numFmtId="5" fontId="4" fillId="0" borderId="3" xfId="0" applyNumberFormat="1" applyFont="1" applyBorder="1"/>
    <xf numFmtId="0" fontId="10" fillId="0" borderId="2" xfId="0" applyFont="1" applyBorder="1"/>
    <xf numFmtId="0" fontId="10" fillId="0" borderId="0" xfId="0" applyFont="1"/>
    <xf numFmtId="177" fontId="2" fillId="0" borderId="2" xfId="0" applyNumberFormat="1" applyFont="1" applyBorder="1"/>
    <xf numFmtId="0" fontId="8" fillId="2" borderId="0" xfId="0" applyFont="1" applyFill="1" applyAlignment="1">
      <alignment horizont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solar-off.com/shopbrand/solarpanel" TargetMode="External"/><Relationship Id="rId1" Type="http://schemas.openxmlformats.org/officeDocument/2006/relationships/hyperlink" Target="https://appww2.infoc.nedo.go.jp/appww/monsola_ma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34B5-778C-4010-97ED-A6F6E5B313D9}">
  <dimension ref="A3:J34"/>
  <sheetViews>
    <sheetView tabSelected="1" topLeftCell="B13" workbookViewId="0">
      <selection activeCell="F26" sqref="F26"/>
    </sheetView>
  </sheetViews>
  <sheetFormatPr defaultRowHeight="17.649999999999999"/>
  <cols>
    <col min="1" max="1" width="22.25" customWidth="1"/>
    <col min="2" max="2" width="23.375" customWidth="1"/>
    <col min="3" max="3" width="7.5" customWidth="1"/>
    <col min="5" max="5" width="41.375" customWidth="1"/>
    <col min="6" max="6" width="18.125" customWidth="1"/>
    <col min="9" max="9" width="23.75" customWidth="1"/>
    <col min="10" max="10" width="12.25" customWidth="1"/>
  </cols>
  <sheetData>
    <row r="3" spans="1:10">
      <c r="A3" t="s">
        <v>0</v>
      </c>
      <c r="E3" t="s">
        <v>1</v>
      </c>
    </row>
    <row r="4" spans="1:10">
      <c r="A4" s="5" t="s">
        <v>2</v>
      </c>
      <c r="E4" s="22" t="s">
        <v>3</v>
      </c>
      <c r="F4" s="22"/>
    </row>
    <row r="5" spans="1:10">
      <c r="A5" s="2" t="s">
        <v>4</v>
      </c>
      <c r="B5" s="2" t="s">
        <v>5</v>
      </c>
      <c r="E5" s="2" t="s">
        <v>6</v>
      </c>
      <c r="F5" s="2" t="s">
        <v>36</v>
      </c>
      <c r="I5" t="s">
        <v>7</v>
      </c>
    </row>
    <row r="6" spans="1:10">
      <c r="A6" s="2" t="s">
        <v>8</v>
      </c>
      <c r="B6" s="10">
        <v>480</v>
      </c>
      <c r="C6" s="10">
        <v>460</v>
      </c>
      <c r="E6" s="2" t="s">
        <v>9</v>
      </c>
      <c r="F6" s="7">
        <v>30</v>
      </c>
      <c r="G6">
        <v>30</v>
      </c>
      <c r="I6" s="2" t="s">
        <v>10</v>
      </c>
      <c r="J6" s="2" t="s">
        <v>11</v>
      </c>
    </row>
    <row r="7" spans="1:10" ht="19.149999999999999">
      <c r="A7" s="2" t="s">
        <v>12</v>
      </c>
      <c r="B7" s="10">
        <v>40.29</v>
      </c>
      <c r="C7" s="10">
        <v>41</v>
      </c>
      <c r="E7" t="s">
        <v>13</v>
      </c>
      <c r="F7" s="7">
        <v>55</v>
      </c>
      <c r="G7">
        <v>55</v>
      </c>
      <c r="I7" s="2">
        <v>5</v>
      </c>
      <c r="J7" s="2">
        <f>J8-9.12</f>
        <v>9.170000000000007</v>
      </c>
    </row>
    <row r="8" spans="1:10" ht="35.25">
      <c r="A8" s="2" t="s">
        <v>14</v>
      </c>
      <c r="B8" s="10">
        <v>15.13</v>
      </c>
      <c r="C8" s="10">
        <v>11.61</v>
      </c>
      <c r="E8" s="4" t="s">
        <v>15</v>
      </c>
      <c r="F8" s="7">
        <v>26</v>
      </c>
      <c r="G8" s="20">
        <v>24</v>
      </c>
      <c r="I8" s="2">
        <v>10</v>
      </c>
      <c r="J8" s="2">
        <f>J9-9.12</f>
        <v>18.290000000000006</v>
      </c>
    </row>
    <row r="9" spans="1:10">
      <c r="A9" s="2" t="s">
        <v>16</v>
      </c>
      <c r="B9" s="10">
        <v>33.28</v>
      </c>
      <c r="C9" s="10">
        <v>34.299999999999997</v>
      </c>
      <c r="E9" s="2" t="s">
        <v>17</v>
      </c>
      <c r="F9" s="21">
        <f>B6*F8/1000</f>
        <v>12.48</v>
      </c>
      <c r="I9" s="2">
        <v>15</v>
      </c>
      <c r="J9" s="2">
        <f>J10-9.12</f>
        <v>27.410000000000004</v>
      </c>
    </row>
    <row r="10" spans="1:10">
      <c r="A10" s="2" t="s">
        <v>18</v>
      </c>
      <c r="B10" s="10">
        <v>14.43</v>
      </c>
      <c r="C10" s="10">
        <v>10.94</v>
      </c>
      <c r="E10" s="14"/>
      <c r="F10" s="15"/>
      <c r="I10" s="2">
        <v>20</v>
      </c>
      <c r="J10" s="2">
        <v>36.53</v>
      </c>
    </row>
    <row r="11" spans="1:10">
      <c r="A11" s="2" t="s">
        <v>19</v>
      </c>
      <c r="B11" s="10"/>
      <c r="C11" s="10"/>
      <c r="E11" s="16"/>
      <c r="F11" s="17"/>
      <c r="I11" s="2">
        <v>25</v>
      </c>
      <c r="J11" s="2">
        <v>45.65</v>
      </c>
    </row>
    <row r="12" spans="1:10">
      <c r="A12" s="2" t="s">
        <v>20</v>
      </c>
      <c r="B12" s="10">
        <v>23.52</v>
      </c>
      <c r="C12" s="10">
        <v>20.3</v>
      </c>
      <c r="I12" s="2">
        <v>30</v>
      </c>
      <c r="J12" s="2">
        <v>54.79</v>
      </c>
    </row>
    <row r="13" spans="1:10">
      <c r="A13" s="2" t="s">
        <v>21</v>
      </c>
      <c r="B13" s="7">
        <v>1.8</v>
      </c>
      <c r="C13" s="19">
        <v>2.1120000000000001</v>
      </c>
      <c r="E13" s="6" t="s">
        <v>24</v>
      </c>
      <c r="I13" s="2">
        <v>35</v>
      </c>
      <c r="J13" s="2">
        <v>63.98</v>
      </c>
    </row>
    <row r="14" spans="1:10">
      <c r="A14" s="2" t="s">
        <v>22</v>
      </c>
      <c r="B14" s="7">
        <v>1.1339999999999999</v>
      </c>
      <c r="C14" s="19">
        <v>1.052</v>
      </c>
      <c r="E14" s="5" t="s">
        <v>25</v>
      </c>
      <c r="I14" s="2">
        <v>40</v>
      </c>
      <c r="J14" s="2">
        <v>73.06</v>
      </c>
    </row>
    <row r="15" spans="1:10" ht="19.149999999999999">
      <c r="A15" s="2" t="s">
        <v>23</v>
      </c>
      <c r="B15" s="7">
        <f>B13*B14</f>
        <v>2.0411999999999999</v>
      </c>
      <c r="C15" s="19">
        <f>C13*C14</f>
        <v>2.2218240000000002</v>
      </c>
      <c r="I15" s="2">
        <v>45</v>
      </c>
      <c r="J15" s="2">
        <v>82.18</v>
      </c>
    </row>
    <row r="16" spans="1:10">
      <c r="A16" s="14"/>
      <c r="B16" s="18"/>
      <c r="C16" s="18"/>
      <c r="E16" s="2" t="s">
        <v>26</v>
      </c>
      <c r="F16" s="8">
        <v>38</v>
      </c>
      <c r="G16">
        <v>20</v>
      </c>
      <c r="I16" s="2">
        <v>50</v>
      </c>
      <c r="J16" s="2">
        <v>91.32</v>
      </c>
    </row>
    <row r="17" spans="2:7">
      <c r="E17" s="2" t="s">
        <v>27</v>
      </c>
      <c r="F17" s="8">
        <v>5.04</v>
      </c>
      <c r="G17">
        <v>3.94</v>
      </c>
    </row>
    <row r="18" spans="2:7">
      <c r="E18" s="2" t="s">
        <v>28</v>
      </c>
      <c r="F18" s="2">
        <v>0.8</v>
      </c>
    </row>
    <row r="19" spans="2:7">
      <c r="E19" s="2" t="s">
        <v>29</v>
      </c>
      <c r="F19" s="2">
        <v>365</v>
      </c>
    </row>
    <row r="20" spans="2:7" ht="19.149999999999999">
      <c r="E20" s="2" t="s">
        <v>30</v>
      </c>
      <c r="F20" s="2">
        <v>1</v>
      </c>
    </row>
    <row r="21" spans="2:7">
      <c r="E21" s="2" t="s">
        <v>31</v>
      </c>
      <c r="F21" s="2">
        <f>F17*F18*F9*F19*F20</f>
        <v>18366.5664</v>
      </c>
    </row>
    <row r="22" spans="2:7">
      <c r="E22" s="1" t="s">
        <v>32</v>
      </c>
      <c r="F22" s="9">
        <v>44</v>
      </c>
      <c r="G22" t="s">
        <v>33</v>
      </c>
    </row>
    <row r="23" spans="2:7" ht="22.9">
      <c r="E23" s="4" t="s">
        <v>34</v>
      </c>
      <c r="F23" s="11">
        <f>F21*F22</f>
        <v>808128.9216</v>
      </c>
    </row>
    <row r="24" spans="2:7" ht="35.25">
      <c r="E24" s="4" t="s">
        <v>35</v>
      </c>
      <c r="F24" s="3">
        <f>F23/12</f>
        <v>67344.076799999995</v>
      </c>
    </row>
    <row r="26" spans="2:7">
      <c r="E26" s="2" t="s">
        <v>26</v>
      </c>
      <c r="F26" s="8"/>
    </row>
    <row r="27" spans="2:7">
      <c r="E27" s="2" t="s">
        <v>27</v>
      </c>
      <c r="F27" s="8"/>
    </row>
    <row r="28" spans="2:7">
      <c r="B28" s="12"/>
      <c r="C28" s="12"/>
      <c r="E28" s="2" t="s">
        <v>28</v>
      </c>
      <c r="F28" s="2">
        <v>0.8</v>
      </c>
    </row>
    <row r="29" spans="2:7">
      <c r="B29" s="12"/>
      <c r="C29" s="12"/>
      <c r="E29" s="2" t="s">
        <v>29</v>
      </c>
      <c r="F29" s="2">
        <v>365</v>
      </c>
    </row>
    <row r="30" spans="2:7" ht="19.149999999999999">
      <c r="B30" s="12"/>
      <c r="C30" s="12"/>
      <c r="E30" s="2" t="s">
        <v>30</v>
      </c>
      <c r="F30" s="2">
        <v>1</v>
      </c>
    </row>
    <row r="31" spans="2:7">
      <c r="B31" s="13"/>
      <c r="C31" s="13"/>
      <c r="E31" s="2" t="s">
        <v>31</v>
      </c>
      <c r="F31" s="2">
        <f>F27*F28*F9*F29*F30</f>
        <v>0</v>
      </c>
    </row>
    <row r="32" spans="2:7">
      <c r="E32" s="1" t="s">
        <v>32</v>
      </c>
      <c r="F32" s="9"/>
    </row>
    <row r="33" spans="5:6" ht="22.9">
      <c r="E33" s="4" t="s">
        <v>34</v>
      </c>
      <c r="F33" s="11">
        <f>F31*F32</f>
        <v>0</v>
      </c>
    </row>
    <row r="34" spans="5:6" ht="35.25">
      <c r="E34" s="4" t="s">
        <v>35</v>
      </c>
      <c r="F34" s="3">
        <f>F33/12</f>
        <v>0</v>
      </c>
    </row>
  </sheetData>
  <mergeCells count="1">
    <mergeCell ref="E4:F4"/>
  </mergeCells>
  <phoneticPr fontId="1"/>
  <hyperlinks>
    <hyperlink ref="E14" r:id="rId1" xr:uid="{0EFD05C4-9BB4-48F3-A36D-F485780B2295}"/>
    <hyperlink ref="A4" r:id="rId2" xr:uid="{0388E60A-0586-4BBD-890E-03F85AD9505A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6c86ff-434c-47dd-8bea-4d32ecd94d1d">
      <Terms xmlns="http://schemas.microsoft.com/office/infopath/2007/PartnerControls"/>
    </lcf76f155ced4ddcb4097134ff3c332f>
    <TaxCatchAll xmlns="51813d92-7b40-4667-90aa-91a99501a65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B5E4E3483FB9142B924D7610BCF02DD" ma:contentTypeVersion="10" ma:contentTypeDescription="新しいドキュメントを作成します。" ma:contentTypeScope="" ma:versionID="90edbab22fabcd1067f050d44f1816c5">
  <xsd:schema xmlns:xsd="http://www.w3.org/2001/XMLSchema" xmlns:xs="http://www.w3.org/2001/XMLSchema" xmlns:p="http://schemas.microsoft.com/office/2006/metadata/properties" xmlns:ns2="046c86ff-434c-47dd-8bea-4d32ecd94d1d" xmlns:ns3="51813d92-7b40-4667-90aa-91a99501a653" targetNamespace="http://schemas.microsoft.com/office/2006/metadata/properties" ma:root="true" ma:fieldsID="ce1f711834c26e3fc622f614ba7252b2" ns2:_="" ns3:_="">
    <xsd:import namespace="046c86ff-434c-47dd-8bea-4d32ecd94d1d"/>
    <xsd:import namespace="51813d92-7b40-4667-90aa-91a99501a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c86ff-434c-47dd-8bea-4d32ecd94d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1ec0f05-8db9-4cb4-a53b-b8806002f24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13d92-7b40-4667-90aa-91a99501a6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d44fbb1-6c34-4653-be7b-48f6e82a2699}" ma:internalName="TaxCatchAll" ma:showField="CatchAllData" ma:web="51813d92-7b40-4667-90aa-91a99501a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C26C4A-0E76-4371-AC2E-D92D0FE9895D}">
  <ds:schemaRefs>
    <ds:schemaRef ds:uri="http://purl.org/dc/terms/"/>
    <ds:schemaRef ds:uri="http://schemas.microsoft.com/office/2006/metadata/properties"/>
    <ds:schemaRef ds:uri="51813d92-7b40-4667-90aa-91a99501a653"/>
    <ds:schemaRef ds:uri="046c86ff-434c-47dd-8bea-4d32ecd94d1d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0E00507-07F8-4F62-8C04-DC215F37DE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6c86ff-434c-47dd-8bea-4d32ecd94d1d"/>
    <ds:schemaRef ds:uri="51813d92-7b40-4667-90aa-91a99501a6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DB0999-2BBD-447A-9B5E-52429A770C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03電力の見積り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2025-05-23T06:07:35Z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0x0101005B5E4E3483FB9142B924D7610BCF02DD</vt:lpwstr>
  </property>
</Properties>
</file>